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akob\Documents\Jakobs_fund_analytics\"/>
    </mc:Choice>
  </mc:AlternateContent>
  <xr:revisionPtr revIDLastSave="0" documentId="13_ncr:1_{C6E1D9D4-DE29-4E9D-9CDF-C5AC4BCCE84D}" xr6:coauthVersionLast="47" xr6:coauthVersionMax="47" xr10:uidLastSave="{00000000-0000-0000-0000-000000000000}"/>
  <bookViews>
    <workbookView xWindow="-28920" yWindow="-105" windowWidth="29040" windowHeight="15720" activeTab="2" xr2:uid="{B5D07120-9D77-416A-94A1-2D0E51702DE3}"/>
  </bookViews>
  <sheets>
    <sheet name="return" sheetId="2" r:id="rId1"/>
    <sheet name="bm" sheetId="1" r:id="rId2"/>
    <sheet name="rf" sheetId="3" r:id="rId3"/>
    <sheet name="exposur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" i="3" l="1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<sst xmlns="http://schemas.openxmlformats.org/spreadsheetml/2006/main" count="15" uniqueCount="12">
  <si>
    <t>Date</t>
  </si>
  <si>
    <t>S&amp;P500 Net</t>
  </si>
  <si>
    <t>Salesforce</t>
  </si>
  <si>
    <t>ServiceNow</t>
  </si>
  <si>
    <t>Oracle</t>
  </si>
  <si>
    <t>1 Month US Treasury</t>
  </si>
  <si>
    <t>Salesforce Gross</t>
  </si>
  <si>
    <t>Salesforce Net</t>
  </si>
  <si>
    <t>ServiceNow Net</t>
  </si>
  <si>
    <t>ServiceNow Gross</t>
  </si>
  <si>
    <t>Oracle Gross</t>
  </si>
  <si>
    <t>Oracle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</si>
</sst>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511C-2BE7-49FF-B4A1-378E69C2D5BF}">
  <sheetPr codeName="Sheet1"/>
  <dimension ref="A1:L60"/>
  <sheetViews>
    <sheetView workbookViewId="0">
      <selection sqref="A1:A1048576"/>
    </sheetView>
  </sheetViews>
  <sheetFormatPr defaultRowHeight="15" x14ac:dyDescent="0.25"/>
  <cols>
    <col min="1" max="1" width="10.42578125" bestFit="1" customWidth="1"/>
    <col min="2" max="4" width="12.7109375" bestFit="1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4</v>
      </c>
    </row>
    <row r="2" spans="1:12" x14ac:dyDescent="0.25">
      <c r="A2" s="1">
        <v>44316</v>
      </c>
      <c r="B2">
        <v>8.7081701043092402E-2</v>
      </c>
      <c r="C2">
        <v>1.251724620583467E-2</v>
      </c>
      <c r="D2">
        <v>8.4757457726870128E-2</v>
      </c>
    </row>
    <row r="3" spans="1:12" x14ac:dyDescent="0.25">
      <c r="A3" s="1">
        <v>44347</v>
      </c>
      <c r="B3">
        <v>3.3779089961792297E-2</v>
      </c>
      <c r="C3">
        <v>-6.416256887256358E-2</v>
      </c>
      <c r="D3">
        <v>3.8923340810133072E-2</v>
      </c>
    </row>
    <row r="4" spans="1:12" x14ac:dyDescent="0.25">
      <c r="A4" s="1">
        <v>44377</v>
      </c>
      <c r="B4">
        <v>2.5913481730365461E-2</v>
      </c>
      <c r="C4">
        <v>0.15968177597704061</v>
      </c>
      <c r="D4">
        <v>-1.1430022860045493E-2</v>
      </c>
    </row>
    <row r="5" spans="1:12" x14ac:dyDescent="0.25">
      <c r="A5" s="1">
        <v>44407</v>
      </c>
      <c r="B5">
        <v>-9.5795635976583422E-3</v>
      </c>
      <c r="C5">
        <v>6.9766172322809628E-2</v>
      </c>
      <c r="D5">
        <v>0.12353375762720767</v>
      </c>
    </row>
    <row r="6" spans="1:12" x14ac:dyDescent="0.25">
      <c r="A6" s="1">
        <v>44439</v>
      </c>
      <c r="B6">
        <v>9.6474186748232854E-2</v>
      </c>
      <c r="C6">
        <v>9.4830665600707659E-2</v>
      </c>
      <c r="D6">
        <v>2.2836814321781099E-2</v>
      </c>
    </row>
    <row r="7" spans="1:12" x14ac:dyDescent="0.25">
      <c r="A7" s="1">
        <v>44469</v>
      </c>
      <c r="B7">
        <v>2.242997700456156E-2</v>
      </c>
      <c r="C7">
        <v>-3.3201789820396607E-2</v>
      </c>
      <c r="D7">
        <v>-2.2439133849433392E-2</v>
      </c>
    </row>
    <row r="8" spans="1:12" x14ac:dyDescent="0.25">
      <c r="A8" s="1">
        <v>44498</v>
      </c>
      <c r="B8">
        <v>0.10497013494580033</v>
      </c>
      <c r="C8">
        <v>0.12131389911131824</v>
      </c>
      <c r="D8">
        <v>0.10484626183794354</v>
      </c>
    </row>
    <row r="9" spans="1:12" x14ac:dyDescent="0.25">
      <c r="A9" s="1">
        <v>44530</v>
      </c>
      <c r="B9">
        <v>-4.9150789148787143E-2</v>
      </c>
      <c r="C9">
        <v>-7.1743866085759944E-2</v>
      </c>
      <c r="D9">
        <v>-5.4200542005420099E-2</v>
      </c>
    </row>
    <row r="10" spans="1:12" x14ac:dyDescent="0.25">
      <c r="A10" s="1">
        <v>44561</v>
      </c>
      <c r="B10">
        <v>-0.10819062324536774</v>
      </c>
      <c r="C10">
        <v>2.1769337656321001E-3</v>
      </c>
      <c r="D10">
        <v>-3.8902358386599042E-2</v>
      </c>
    </row>
    <row r="11" spans="1:12" x14ac:dyDescent="0.25">
      <c r="A11" s="1">
        <v>44592</v>
      </c>
      <c r="B11">
        <v>-8.4602368866328256E-2</v>
      </c>
      <c r="C11">
        <v>-9.756435735083431E-2</v>
      </c>
      <c r="D11">
        <v>-6.5923615611615666E-2</v>
      </c>
    </row>
    <row r="12" spans="1:12" x14ac:dyDescent="0.25">
      <c r="A12" s="1">
        <v>44620</v>
      </c>
      <c r="B12">
        <v>-9.500064480075654E-2</v>
      </c>
      <c r="C12">
        <v>-1.0003755676192404E-2</v>
      </c>
      <c r="D12">
        <v>-6.3947757516017598E-2</v>
      </c>
    </row>
    <row r="13" spans="1:12" x14ac:dyDescent="0.25">
      <c r="A13" s="1">
        <v>44651</v>
      </c>
      <c r="B13">
        <v>8.5023512088538075E-3</v>
      </c>
      <c r="C13">
        <v>-3.9712374120568307E-2</v>
      </c>
      <c r="D13">
        <v>8.8982493089377265E-2</v>
      </c>
      <c r="L13" s="1"/>
    </row>
    <row r="14" spans="1:12" x14ac:dyDescent="0.25">
      <c r="A14" s="1">
        <v>44680</v>
      </c>
      <c r="B14">
        <v>-0.17134513941220797</v>
      </c>
      <c r="C14">
        <v>-0.14148215985203538</v>
      </c>
      <c r="D14">
        <v>-0.10929463384069169</v>
      </c>
    </row>
    <row r="15" spans="1:12" x14ac:dyDescent="0.25">
      <c r="A15" s="1">
        <v>44712</v>
      </c>
      <c r="B15">
        <v>-8.9234966465840559E-2</v>
      </c>
      <c r="C15">
        <v>-2.2233842292407494E-2</v>
      </c>
      <c r="D15">
        <v>-2.0163487738419666E-2</v>
      </c>
    </row>
    <row r="16" spans="1:12" x14ac:dyDescent="0.25">
      <c r="A16" s="1">
        <v>44742</v>
      </c>
      <c r="B16">
        <v>2.9955067398901539E-2</v>
      </c>
      <c r="C16">
        <v>1.722035638650608E-2</v>
      </c>
      <c r="D16">
        <v>-2.850389321468284E-2</v>
      </c>
    </row>
    <row r="17" spans="1:4" x14ac:dyDescent="0.25">
      <c r="A17" s="1">
        <v>44771</v>
      </c>
      <c r="B17">
        <v>0.11500242365487166</v>
      </c>
      <c r="C17">
        <v>-6.0691453566621714E-2</v>
      </c>
      <c r="D17">
        <v>0.11905015160293196</v>
      </c>
    </row>
    <row r="18" spans="1:4" x14ac:dyDescent="0.25">
      <c r="A18" s="1">
        <v>44804</v>
      </c>
      <c r="B18">
        <v>-0.1516139550048908</v>
      </c>
      <c r="C18">
        <v>-2.695562620337618E-2</v>
      </c>
      <c r="D18">
        <v>-4.7404933196300174E-2</v>
      </c>
    </row>
    <row r="19" spans="1:4" x14ac:dyDescent="0.25">
      <c r="A19" s="1">
        <v>44834</v>
      </c>
      <c r="B19">
        <v>-7.8657442992569826E-2</v>
      </c>
      <c r="C19">
        <v>-0.13117205834982285</v>
      </c>
      <c r="D19">
        <v>-0.17639919082939989</v>
      </c>
    </row>
    <row r="20" spans="1:4" x14ac:dyDescent="0.25">
      <c r="A20" s="1">
        <v>44865</v>
      </c>
      <c r="B20">
        <v>0.130353170189099</v>
      </c>
      <c r="C20">
        <v>0.11421837345409273</v>
      </c>
      <c r="D20">
        <v>0.28492377312178385</v>
      </c>
    </row>
    <row r="21" spans="1:4" x14ac:dyDescent="0.25">
      <c r="A21" s="1">
        <v>44895</v>
      </c>
      <c r="B21">
        <v>-1.4392029030075673E-2</v>
      </c>
      <c r="C21">
        <v>-1.0552835480344049E-2</v>
      </c>
      <c r="D21">
        <v>6.353272703983627E-2</v>
      </c>
    </row>
    <row r="22" spans="1:4" x14ac:dyDescent="0.25">
      <c r="A22" s="1">
        <v>44925</v>
      </c>
      <c r="B22">
        <v>-0.17260530421216846</v>
      </c>
      <c r="C22">
        <v>-6.7331251501321257E-2</v>
      </c>
      <c r="D22">
        <v>-1.5536553053113494E-2</v>
      </c>
    </row>
    <row r="23" spans="1:4" x14ac:dyDescent="0.25">
      <c r="A23" s="1">
        <v>44957</v>
      </c>
      <c r="B23">
        <v>0.2668376197299947</v>
      </c>
      <c r="C23">
        <v>0.17219975790043013</v>
      </c>
      <c r="D23">
        <v>8.6219155945548312E-2</v>
      </c>
    </row>
    <row r="24" spans="1:4" x14ac:dyDescent="0.25">
      <c r="A24" s="1">
        <v>44985</v>
      </c>
      <c r="B24">
        <v>-2.5957016133833336E-2</v>
      </c>
      <c r="C24">
        <v>-5.0447124997253526E-2</v>
      </c>
      <c r="D24">
        <v>-1.1982817092471055E-2</v>
      </c>
    </row>
    <row r="25" spans="1:4" x14ac:dyDescent="0.25">
      <c r="A25" s="1">
        <v>45016</v>
      </c>
      <c r="B25">
        <v>0.22107450644826102</v>
      </c>
      <c r="C25">
        <v>7.5317583358400692E-2</v>
      </c>
      <c r="D25">
        <v>6.3157894736841996E-2</v>
      </c>
    </row>
    <row r="26" spans="1:4" x14ac:dyDescent="0.25">
      <c r="A26" s="1">
        <v>45044</v>
      </c>
      <c r="B26">
        <v>-7.0577635398938665E-3</v>
      </c>
      <c r="C26">
        <v>-1.1404716818729581E-2</v>
      </c>
      <c r="D26">
        <v>2.3720356899913246E-2</v>
      </c>
    </row>
    <row r="27" spans="1:4" x14ac:dyDescent="0.25">
      <c r="A27" s="1">
        <v>45077</v>
      </c>
      <c r="B27">
        <v>0.12607753188486157</v>
      </c>
      <c r="C27">
        <v>0.18579948630882404</v>
      </c>
      <c r="D27">
        <v>0.11845439189189196</v>
      </c>
    </row>
    <row r="28" spans="1:4" x14ac:dyDescent="0.25">
      <c r="A28" s="1">
        <v>45107</v>
      </c>
      <c r="B28">
        <v>-5.4257319366102633E-2</v>
      </c>
      <c r="C28">
        <v>3.1554021806968105E-2</v>
      </c>
      <c r="D28">
        <v>0.12412686426279028</v>
      </c>
    </row>
    <row r="29" spans="1:4" x14ac:dyDescent="0.25">
      <c r="A29" s="1">
        <v>45138</v>
      </c>
      <c r="B29">
        <v>6.5085676417684368E-2</v>
      </c>
      <c r="C29">
        <v>3.742192643735421E-2</v>
      </c>
      <c r="D29">
        <v>-1.2190927439302432E-2</v>
      </c>
    </row>
    <row r="30" spans="1:4" x14ac:dyDescent="0.25">
      <c r="A30" s="1">
        <v>45169</v>
      </c>
      <c r="B30">
        <v>-1.5777076574374396E-2</v>
      </c>
      <c r="C30">
        <v>1.0000000000000096E-2</v>
      </c>
      <c r="D30">
        <v>2.695555745116426E-2</v>
      </c>
    </row>
    <row r="31" spans="1:4" x14ac:dyDescent="0.25">
      <c r="A31" s="1">
        <v>45198</v>
      </c>
      <c r="B31">
        <v>-8.4349318161293263E-2</v>
      </c>
      <c r="C31">
        <v>-5.0727714280862077E-2</v>
      </c>
      <c r="D31">
        <v>-0.120192707035468</v>
      </c>
    </row>
    <row r="32" spans="1:4" x14ac:dyDescent="0.25">
      <c r="A32" s="1">
        <v>45230</v>
      </c>
      <c r="B32">
        <v>-9.6163329716934046E-3</v>
      </c>
      <c r="C32">
        <v>4.0951051953628193E-2</v>
      </c>
      <c r="D32">
        <v>-2.023003600908662E-2</v>
      </c>
    </row>
    <row r="33" spans="1:4" x14ac:dyDescent="0.25">
      <c r="A33" s="1">
        <v>45260</v>
      </c>
      <c r="B33">
        <v>0.25429467709007614</v>
      </c>
      <c r="C33">
        <v>0.17855117298272746</v>
      </c>
      <c r="D33">
        <v>0.12388781431334613</v>
      </c>
    </row>
    <row r="34" spans="1:4" x14ac:dyDescent="0.25">
      <c r="A34" s="1">
        <v>45289</v>
      </c>
      <c r="B34">
        <v>4.4620881302103933E-2</v>
      </c>
      <c r="C34">
        <v>3.0259281943593824E-2</v>
      </c>
      <c r="D34">
        <v>-9.2763101282161517E-2</v>
      </c>
    </row>
    <row r="35" spans="1:4" x14ac:dyDescent="0.25">
      <c r="A35" s="1">
        <v>45322</v>
      </c>
      <c r="B35">
        <v>6.8214638595424454E-2</v>
      </c>
      <c r="C35">
        <v>8.3384053560559834E-2</v>
      </c>
      <c r="D35">
        <v>6.3548763277948783E-2</v>
      </c>
    </row>
    <row r="36" spans="1:4" x14ac:dyDescent="0.25">
      <c r="A36" s="1">
        <v>45351</v>
      </c>
      <c r="B36">
        <v>9.8651677398698012E-2</v>
      </c>
      <c r="C36">
        <v>7.7606480271754435E-3</v>
      </c>
      <c r="D36">
        <v>-1.7905102954340465E-4</v>
      </c>
    </row>
    <row r="37" spans="1:4" x14ac:dyDescent="0.25">
      <c r="A37" s="1">
        <v>45380</v>
      </c>
      <c r="B37">
        <v>-2.3458956624901772E-2</v>
      </c>
      <c r="C37">
        <v>-1.1590219617808041E-2</v>
      </c>
      <c r="D37">
        <v>0.1247313753581662</v>
      </c>
    </row>
    <row r="38" spans="1:4" x14ac:dyDescent="0.25">
      <c r="A38" s="1">
        <v>45412</v>
      </c>
      <c r="B38">
        <v>-0.10704562055913414</v>
      </c>
      <c r="C38">
        <v>-9.059548793284361E-2</v>
      </c>
      <c r="D38">
        <v>-9.1479752628482791E-2</v>
      </c>
    </row>
    <row r="39" spans="1:4" x14ac:dyDescent="0.25">
      <c r="A39" s="1">
        <v>45443</v>
      </c>
      <c r="B39">
        <v>-0.12828140105599753</v>
      </c>
      <c r="C39">
        <v>-5.2500252405059657E-2</v>
      </c>
      <c r="D39">
        <v>3.0241758241758256E-2</v>
      </c>
    </row>
    <row r="40" spans="1:4" x14ac:dyDescent="0.25">
      <c r="A40" s="1">
        <v>45471</v>
      </c>
      <c r="B40">
        <v>9.6655860774611843E-2</v>
      </c>
      <c r="C40">
        <v>0.19749440579666031</v>
      </c>
      <c r="D40">
        <v>0.20488096253946567</v>
      </c>
    </row>
    <row r="41" spans="1:4" x14ac:dyDescent="0.25">
      <c r="A41" s="1">
        <v>45504</v>
      </c>
      <c r="B41">
        <v>8.2072885547038177E-3</v>
      </c>
      <c r="C41">
        <v>3.5237138825682829E-2</v>
      </c>
      <c r="D41">
        <v>-9.6265885731475175E-3</v>
      </c>
    </row>
    <row r="42" spans="1:4" x14ac:dyDescent="0.25">
      <c r="A42" s="1">
        <v>45534</v>
      </c>
      <c r="B42">
        <v>-2.2797527047913501E-2</v>
      </c>
      <c r="C42">
        <v>4.9865543535652541E-2</v>
      </c>
      <c r="D42">
        <v>1.3194693438508456E-2</v>
      </c>
    </row>
    <row r="43" spans="1:4" x14ac:dyDescent="0.25">
      <c r="A43" s="1">
        <v>45565</v>
      </c>
      <c r="B43">
        <v>8.4000475441970035E-2</v>
      </c>
      <c r="C43">
        <v>4.6070175438596407E-2</v>
      </c>
      <c r="D43">
        <v>0.20603015075376899</v>
      </c>
    </row>
    <row r="44" spans="1:4" x14ac:dyDescent="0.25">
      <c r="A44" s="1">
        <v>45596</v>
      </c>
      <c r="B44">
        <v>6.4520843228234329E-2</v>
      </c>
      <c r="C44">
        <v>4.3157906506110469E-2</v>
      </c>
      <c r="D44">
        <v>-1.2777361583177551E-2</v>
      </c>
    </row>
    <row r="45" spans="1:4" x14ac:dyDescent="0.25">
      <c r="A45" s="1">
        <v>45625</v>
      </c>
      <c r="B45">
        <v>0.13254624703984641</v>
      </c>
      <c r="C45">
        <v>0.12481377077996543</v>
      </c>
      <c r="D45">
        <v>0.10128693994280261</v>
      </c>
    </row>
    <row r="46" spans="1:4" x14ac:dyDescent="0.25">
      <c r="A46" s="1">
        <v>45657</v>
      </c>
      <c r="B46">
        <v>1.4353647720027467E-2</v>
      </c>
      <c r="C46">
        <v>1.0176856228083394E-2</v>
      </c>
      <c r="D46">
        <v>-9.8463536031162063E-2</v>
      </c>
    </row>
    <row r="47" spans="1:4" x14ac:dyDescent="0.25">
      <c r="A47" s="1">
        <v>45688</v>
      </c>
      <c r="B47">
        <v>2.2044088176352644E-2</v>
      </c>
      <c r="C47">
        <v>-3.9372901180998308E-2</v>
      </c>
      <c r="D47">
        <v>2.3165415204296762E-2</v>
      </c>
    </row>
    <row r="48" spans="1:4" x14ac:dyDescent="0.25">
      <c r="A48" s="1">
        <v>45716</v>
      </c>
      <c r="B48">
        <v>-0.12832894351770541</v>
      </c>
      <c r="C48">
        <v>-8.7020562069168653E-2</v>
      </c>
      <c r="D48">
        <v>-2.3521110196401233E-2</v>
      </c>
    </row>
    <row r="49" spans="1:4" x14ac:dyDescent="0.25">
      <c r="A49" s="1">
        <v>45747</v>
      </c>
      <c r="B49">
        <v>-9.9009568574786086E-2</v>
      </c>
      <c r="C49">
        <v>-0.14371450696954047</v>
      </c>
      <c r="D49">
        <v>-0.15807539443574611</v>
      </c>
    </row>
    <row r="50" spans="1:4" x14ac:dyDescent="0.25">
      <c r="A50" s="1">
        <v>45777</v>
      </c>
      <c r="B50">
        <v>2.9369500847415044E-3</v>
      </c>
      <c r="C50">
        <v>0.19955033034390937</v>
      </c>
      <c r="D50">
        <v>1.0282769800044875E-2</v>
      </c>
    </row>
    <row r="51" spans="1:4" x14ac:dyDescent="0.25">
      <c r="A51" s="1">
        <v>45807</v>
      </c>
      <c r="B51">
        <v>-1.2429756987086302E-2</v>
      </c>
      <c r="C51">
        <v>5.8721898200018885E-2</v>
      </c>
      <c r="D51">
        <v>0.17630756111426965</v>
      </c>
    </row>
    <row r="52" spans="1:4" x14ac:dyDescent="0.25">
      <c r="A52" s="1">
        <v>45838</v>
      </c>
      <c r="B52">
        <v>2.9231430315457854E-2</v>
      </c>
      <c r="C52">
        <v>1.6803647548684922E-2</v>
      </c>
      <c r="D52">
        <v>0.32078777260919467</v>
      </c>
    </row>
    <row r="53" spans="1:4" x14ac:dyDescent="0.25">
      <c r="A53" s="1">
        <v>45869</v>
      </c>
      <c r="B53">
        <v>-5.2660530272470592E-2</v>
      </c>
      <c r="C53">
        <v>-8.2639483308691891E-2</v>
      </c>
      <c r="D53">
        <v>0.16319780528844521</v>
      </c>
    </row>
    <row r="54" spans="1:4" x14ac:dyDescent="0.25">
      <c r="A54" s="1">
        <v>45898</v>
      </c>
      <c r="B54">
        <v>-8.0517167963456496E-3</v>
      </c>
      <c r="C54">
        <v>-2.7207566375434606E-2</v>
      </c>
      <c r="D54">
        <v>-0.10891752374197107</v>
      </c>
    </row>
    <row r="55" spans="1:4" x14ac:dyDescent="0.25">
      <c r="A55" s="1">
        <v>45930</v>
      </c>
      <c r="B55">
        <v>-7.3533456655734075E-2</v>
      </c>
      <c r="C55">
        <v>3.0737034857103553E-3</v>
      </c>
      <c r="D55">
        <v>0.24370937071595991</v>
      </c>
    </row>
    <row r="56" spans="1:4" x14ac:dyDescent="0.25">
      <c r="A56" s="1">
        <v>45961</v>
      </c>
      <c r="B56">
        <v>9.8776371308016919E-2</v>
      </c>
      <c r="C56">
        <v>-1.0866258095361665E-3</v>
      </c>
      <c r="D56">
        <v>-6.4670160973539573E-2</v>
      </c>
    </row>
    <row r="57" spans="1:4" x14ac:dyDescent="0.25">
      <c r="A57" s="1">
        <v>45989</v>
      </c>
      <c r="B57">
        <v>-0.11470373641565237</v>
      </c>
      <c r="C57">
        <v>-0.11625402488904357</v>
      </c>
      <c r="D57">
        <v>-0.23098891892921067</v>
      </c>
    </row>
    <row r="58" spans="1:4" x14ac:dyDescent="0.25">
      <c r="A58" s="1">
        <v>46022</v>
      </c>
      <c r="B58">
        <v>0.15093862318076626</v>
      </c>
      <c r="C58">
        <v>-5.7187873118253116E-2</v>
      </c>
      <c r="D58">
        <v>-3.4860113889576626E-2</v>
      </c>
    </row>
    <row r="59" spans="1:4" x14ac:dyDescent="0.25">
      <c r="A59" s="1">
        <v>46052</v>
      </c>
      <c r="B59">
        <v>-0.19863349816918954</v>
      </c>
      <c r="C59">
        <v>-0.23617729616815714</v>
      </c>
      <c r="D59">
        <v>-0.15348356970409713</v>
      </c>
    </row>
    <row r="60" spans="1:4" x14ac:dyDescent="0.25">
      <c r="A60" s="1">
        <v>46080</v>
      </c>
      <c r="B60">
        <v>-8.2434405765697896E-2</v>
      </c>
      <c r="C60">
        <v>-7.6916502863003153E-2</v>
      </c>
      <c r="D60">
        <v>-0.11653906914570414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E72A-1BBC-46D1-B655-AE78346148C8}">
  <sheetPr codeName="Sheet2"/>
  <dimension ref="A1:B60"/>
  <sheetViews>
    <sheetView workbookViewId="0">
      <selection activeCell="B47" sqref="B47"/>
    </sheetView>
  </sheetViews>
  <sheetFormatPr defaultRowHeight="15" x14ac:dyDescent="0.25"/>
  <cols>
    <col min="1" max="1" width="10.42578125" style="1" bestFit="1" customWidth="1"/>
    <col min="2" max="2" width="12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44316</v>
      </c>
      <c r="B2">
        <v>5.3085907164149106E-2</v>
      </c>
    </row>
    <row r="3" spans="1:2" x14ac:dyDescent="0.25">
      <c r="A3" s="1">
        <v>44347</v>
      </c>
      <c r="B3">
        <v>6.5335677104482208E-3</v>
      </c>
    </row>
    <row r="4" spans="1:2" x14ac:dyDescent="0.25">
      <c r="A4" s="1">
        <v>44377</v>
      </c>
      <c r="B4">
        <v>2.3005348567859109E-2</v>
      </c>
    </row>
    <row r="5" spans="1:2" x14ac:dyDescent="0.25">
      <c r="A5" s="1">
        <v>44407</v>
      </c>
      <c r="B5">
        <v>2.3453520381423405E-2</v>
      </c>
    </row>
    <row r="6" spans="1:2" x14ac:dyDescent="0.25">
      <c r="A6" s="1">
        <v>44439</v>
      </c>
      <c r="B6">
        <v>2.9980920893175653E-2</v>
      </c>
    </row>
    <row r="7" spans="1:2" x14ac:dyDescent="0.25">
      <c r="A7" s="1">
        <v>44469</v>
      </c>
      <c r="B7">
        <v>-4.6828275807140662E-2</v>
      </c>
    </row>
    <row r="8" spans="1:2" x14ac:dyDescent="0.25">
      <c r="A8" s="1">
        <v>44498</v>
      </c>
      <c r="B8">
        <v>6.9785696470644837E-2</v>
      </c>
    </row>
    <row r="9" spans="1:2" x14ac:dyDescent="0.25">
      <c r="A9" s="1">
        <v>44530</v>
      </c>
      <c r="B9">
        <v>-7.3492689785108279E-3</v>
      </c>
    </row>
    <row r="10" spans="1:2" x14ac:dyDescent="0.25">
      <c r="A10" s="1">
        <v>44561</v>
      </c>
      <c r="B10">
        <v>4.4454273628590467E-2</v>
      </c>
    </row>
    <row r="11" spans="1:2" x14ac:dyDescent="0.25">
      <c r="A11" s="1">
        <v>44592</v>
      </c>
      <c r="B11">
        <v>-5.1998780904025967E-2</v>
      </c>
    </row>
    <row r="12" spans="1:2" x14ac:dyDescent="0.25">
      <c r="A12" s="1">
        <v>44620</v>
      </c>
      <c r="B12">
        <v>-3.0367065821397695E-2</v>
      </c>
    </row>
    <row r="13" spans="1:2" x14ac:dyDescent="0.25">
      <c r="A13" s="1">
        <v>44651</v>
      </c>
      <c r="B13">
        <v>3.6722402627641065E-2</v>
      </c>
    </row>
    <row r="14" spans="1:2" x14ac:dyDescent="0.25">
      <c r="A14" s="1">
        <v>44680</v>
      </c>
      <c r="B14">
        <v>-8.7428146377163951E-2</v>
      </c>
    </row>
    <row r="15" spans="1:2" x14ac:dyDescent="0.25">
      <c r="A15" s="1">
        <v>44712</v>
      </c>
      <c r="B15">
        <v>1.2994394034653864E-3</v>
      </c>
    </row>
    <row r="16" spans="1:2" x14ac:dyDescent="0.25">
      <c r="A16" s="1">
        <v>44742</v>
      </c>
      <c r="B16">
        <v>-8.2956569842054295E-2</v>
      </c>
    </row>
    <row r="17" spans="1:2" x14ac:dyDescent="0.25">
      <c r="A17" s="1">
        <v>44771</v>
      </c>
      <c r="B17">
        <v>9.1877473830465156E-2</v>
      </c>
    </row>
    <row r="18" spans="1:2" x14ac:dyDescent="0.25">
      <c r="A18" s="1">
        <v>44804</v>
      </c>
      <c r="B18">
        <v>-4.1279155015133837E-2</v>
      </c>
    </row>
    <row r="19" spans="1:2" x14ac:dyDescent="0.25">
      <c r="A19" s="1">
        <v>44834</v>
      </c>
      <c r="B19">
        <v>-9.2487269857179366E-2</v>
      </c>
    </row>
    <row r="20" spans="1:2" x14ac:dyDescent="0.25">
      <c r="A20" s="1">
        <v>44865</v>
      </c>
      <c r="B20">
        <v>8.0630526928754206E-2</v>
      </c>
    </row>
    <row r="21" spans="1:2" x14ac:dyDescent="0.25">
      <c r="A21" s="1">
        <v>44895</v>
      </c>
      <c r="B21">
        <v>5.5244349202768696E-2</v>
      </c>
    </row>
    <row r="22" spans="1:2" x14ac:dyDescent="0.25">
      <c r="A22" s="1">
        <v>44925</v>
      </c>
      <c r="B22">
        <v>-5.8020869620293139E-2</v>
      </c>
    </row>
    <row r="23" spans="1:2" x14ac:dyDescent="0.25">
      <c r="A23" s="1">
        <v>44957</v>
      </c>
      <c r="B23">
        <v>6.2509367860289627E-2</v>
      </c>
    </row>
    <row r="24" spans="1:2" x14ac:dyDescent="0.25">
      <c r="A24" s="1">
        <v>44985</v>
      </c>
      <c r="B24">
        <v>-2.491361250677326E-2</v>
      </c>
    </row>
    <row r="25" spans="1:2" x14ac:dyDescent="0.25">
      <c r="A25" s="1">
        <v>45016</v>
      </c>
      <c r="B25">
        <v>3.6215326039340023E-2</v>
      </c>
    </row>
    <row r="26" spans="1:2" x14ac:dyDescent="0.25">
      <c r="A26" s="1">
        <v>45044</v>
      </c>
      <c r="B26">
        <v>1.5318591472476722E-2</v>
      </c>
    </row>
    <row r="27" spans="1:2" x14ac:dyDescent="0.25">
      <c r="A27" s="1">
        <v>45077</v>
      </c>
      <c r="B27">
        <v>3.78600463419305E-3</v>
      </c>
    </row>
    <row r="28" spans="1:2" x14ac:dyDescent="0.25">
      <c r="A28" s="1">
        <v>45107</v>
      </c>
      <c r="B28">
        <v>6.5672310597573946E-2</v>
      </c>
    </row>
    <row r="29" spans="1:2" x14ac:dyDescent="0.25">
      <c r="A29" s="1">
        <v>45138</v>
      </c>
      <c r="B29">
        <v>3.1828393623028035E-2</v>
      </c>
    </row>
    <row r="30" spans="1:2" x14ac:dyDescent="0.25">
      <c r="A30" s="1">
        <v>45169</v>
      </c>
      <c r="B30">
        <v>-1.6460133921242268E-2</v>
      </c>
    </row>
    <row r="31" spans="1:2" x14ac:dyDescent="0.25">
      <c r="A31" s="1">
        <v>45198</v>
      </c>
      <c r="B31">
        <v>-4.7990709413466663E-2</v>
      </c>
    </row>
    <row r="32" spans="1:2" x14ac:dyDescent="0.25">
      <c r="A32" s="1">
        <v>45230</v>
      </c>
      <c r="B32">
        <v>-2.1312207235381863E-2</v>
      </c>
    </row>
    <row r="33" spans="1:2" x14ac:dyDescent="0.25">
      <c r="A33" s="1">
        <v>45260</v>
      </c>
      <c r="B33">
        <v>9.0680619225257011E-2</v>
      </c>
    </row>
    <row r="34" spans="1:2" x14ac:dyDescent="0.25">
      <c r="A34" s="1">
        <v>45289</v>
      </c>
      <c r="B34">
        <v>4.5070117355414191E-2</v>
      </c>
    </row>
    <row r="35" spans="1:2" x14ac:dyDescent="0.25">
      <c r="A35" s="1">
        <v>45322</v>
      </c>
      <c r="B35">
        <v>1.6532030181461019E-2</v>
      </c>
    </row>
    <row r="36" spans="1:2" x14ac:dyDescent="0.25">
      <c r="A36" s="1">
        <v>45351</v>
      </c>
      <c r="B36">
        <v>5.2892850171831908E-2</v>
      </c>
    </row>
    <row r="37" spans="1:2" x14ac:dyDescent="0.25">
      <c r="A37" s="1">
        <v>45380</v>
      </c>
      <c r="B37">
        <v>3.1827597734991546E-2</v>
      </c>
    </row>
    <row r="38" spans="1:2" x14ac:dyDescent="0.25">
      <c r="A38" s="1">
        <v>45412</v>
      </c>
      <c r="B38">
        <v>-4.1075648030296834E-2</v>
      </c>
    </row>
    <row r="39" spans="1:2" x14ac:dyDescent="0.25">
      <c r="A39" s="1">
        <v>45443</v>
      </c>
      <c r="B39">
        <v>4.9114877510162816E-2</v>
      </c>
    </row>
    <row r="40" spans="1:2" x14ac:dyDescent="0.25">
      <c r="A40" s="1">
        <v>45471</v>
      </c>
      <c r="B40">
        <v>3.5519249041084666E-2</v>
      </c>
    </row>
    <row r="41" spans="1:2" x14ac:dyDescent="0.25">
      <c r="A41" s="1">
        <v>45504</v>
      </c>
      <c r="B41">
        <v>1.1916469415299452E-2</v>
      </c>
    </row>
    <row r="42" spans="1:2" x14ac:dyDescent="0.25">
      <c r="A42" s="1">
        <v>45534</v>
      </c>
      <c r="B42">
        <v>2.3829950210647186E-2</v>
      </c>
    </row>
    <row r="43" spans="1:2" x14ac:dyDescent="0.25">
      <c r="A43" s="1">
        <v>45565</v>
      </c>
      <c r="B43">
        <v>2.1009307127733731E-2</v>
      </c>
    </row>
    <row r="44" spans="1:2" x14ac:dyDescent="0.25">
      <c r="A44" s="1">
        <v>45596</v>
      </c>
      <c r="B44">
        <v>-9.3180417182275998E-3</v>
      </c>
    </row>
    <row r="45" spans="1:2" x14ac:dyDescent="0.25">
      <c r="A45" s="1">
        <v>45625</v>
      </c>
      <c r="B45">
        <v>5.8281403132454432E-2</v>
      </c>
    </row>
    <row r="46" spans="1:2" x14ac:dyDescent="0.25">
      <c r="A46" s="1">
        <v>45657</v>
      </c>
      <c r="B46">
        <v>-2.4183656352872888E-2</v>
      </c>
    </row>
    <row r="47" spans="1:2" x14ac:dyDescent="0.25">
      <c r="A47" s="1">
        <v>45688</v>
      </c>
      <c r="B47">
        <v>2.7597845890763563E-2</v>
      </c>
    </row>
    <row r="48" spans="1:2" x14ac:dyDescent="0.25">
      <c r="A48" s="1">
        <v>45716</v>
      </c>
      <c r="B48">
        <v>-1.3406112776190214E-2</v>
      </c>
    </row>
    <row r="49" spans="1:2" x14ac:dyDescent="0.25">
      <c r="A49" s="1">
        <v>45747</v>
      </c>
      <c r="B49">
        <v>-5.6704813696546882E-2</v>
      </c>
    </row>
    <row r="50" spans="1:2" x14ac:dyDescent="0.25">
      <c r="A50" s="1">
        <v>45777</v>
      </c>
      <c r="B50">
        <v>-7.0335773038173064E-3</v>
      </c>
    </row>
    <row r="51" spans="1:2" x14ac:dyDescent="0.25">
      <c r="A51" s="1">
        <v>45807</v>
      </c>
      <c r="B51">
        <v>6.2517383224799175E-2</v>
      </c>
    </row>
    <row r="52" spans="1:2" x14ac:dyDescent="0.25">
      <c r="A52" s="1">
        <v>45838</v>
      </c>
      <c r="B52">
        <v>5.0479254772582402E-2</v>
      </c>
    </row>
    <row r="53" spans="1:2" x14ac:dyDescent="0.25">
      <c r="A53" s="1">
        <v>45869</v>
      </c>
      <c r="B53">
        <v>2.2209814452217633E-2</v>
      </c>
    </row>
    <row r="54" spans="1:2" x14ac:dyDescent="0.25">
      <c r="A54" s="1">
        <v>45898</v>
      </c>
      <c r="B54">
        <v>1.9910109499817832E-2</v>
      </c>
    </row>
    <row r="55" spans="1:2" x14ac:dyDescent="0.25">
      <c r="A55" s="1">
        <v>45930</v>
      </c>
      <c r="B55">
        <v>3.6146335416408347E-2</v>
      </c>
    </row>
    <row r="56" spans="1:2" x14ac:dyDescent="0.25">
      <c r="A56" s="1">
        <v>45961</v>
      </c>
      <c r="B56">
        <v>2.319591256492191E-2</v>
      </c>
    </row>
    <row r="57" spans="1:2" x14ac:dyDescent="0.25">
      <c r="A57" s="1">
        <v>45989</v>
      </c>
      <c r="B57">
        <v>2.1054481815193826E-3</v>
      </c>
    </row>
    <row r="58" spans="1:2" x14ac:dyDescent="0.25">
      <c r="A58" s="1">
        <v>46022</v>
      </c>
      <c r="B58">
        <v>2.714935577476323E-4</v>
      </c>
    </row>
    <row r="59" spans="1:2" x14ac:dyDescent="0.25">
      <c r="A59" s="1">
        <v>46052</v>
      </c>
      <c r="B59">
        <v>1.4248780707231835E-2</v>
      </c>
    </row>
    <row r="60" spans="1:2" x14ac:dyDescent="0.25">
      <c r="A60" s="1">
        <v>46080</v>
      </c>
      <c r="B60">
        <v>-7.9207102104021463E-3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53D3C-F0DB-4533-BBB0-EFDB508FFC87}">
  <sheetPr codeName="Sheet3"/>
  <dimension ref="A1:B69"/>
  <sheetViews>
    <sheetView tabSelected="1" workbookViewId="0">
      <selection activeCell="S27" sqref="S27"/>
    </sheetView>
  </sheetViews>
  <sheetFormatPr defaultRowHeight="15" x14ac:dyDescent="0.25"/>
  <cols>
    <col min="1" max="1" width="10.42578125" style="1" bestFit="1" customWidth="1"/>
    <col min="2" max="2" width="19" bestFit="1" customWidth="1"/>
  </cols>
  <sheetData>
    <row r="1" spans="1:2" x14ac:dyDescent="0.25">
      <c r="A1" s="1" t="s">
        <v>0</v>
      </c>
      <c r="B1" t="s">
        <v>5</v>
      </c>
    </row>
    <row r="2" spans="1:2" x14ac:dyDescent="0.25">
      <c r="A2" s="1">
        <v>44074</v>
      </c>
      <c r="B2">
        <f>0.00004/(12)</f>
        <v>3.3333333333333337E-6</v>
      </c>
    </row>
    <row r="3" spans="1:2" x14ac:dyDescent="0.25">
      <c r="A3" s="1">
        <v>44104</v>
      </c>
      <c r="B3">
        <f>0.00004/(12)</f>
        <v>3.3333333333333337E-6</v>
      </c>
    </row>
    <row r="4" spans="1:2" x14ac:dyDescent="0.25">
      <c r="A4" s="1">
        <v>44135</v>
      </c>
      <c r="B4">
        <f>0.00004/(12)</f>
        <v>3.3333333333333337E-6</v>
      </c>
    </row>
    <row r="5" spans="1:2" x14ac:dyDescent="0.25">
      <c r="A5" s="1">
        <v>44165</v>
      </c>
      <c r="B5">
        <f>0.00004/(12)</f>
        <v>3.3333333333333337E-6</v>
      </c>
    </row>
    <row r="6" spans="1:2" x14ac:dyDescent="0.25">
      <c r="A6" s="1">
        <v>44196</v>
      </c>
      <c r="B6">
        <f>0.00004/(12)</f>
        <v>3.3333333333333337E-6</v>
      </c>
    </row>
    <row r="7" spans="1:2" x14ac:dyDescent="0.25">
      <c r="A7" s="1">
        <v>44227</v>
      </c>
      <c r="B7">
        <f>0.00004/(12)</f>
        <v>3.3333333333333337E-6</v>
      </c>
    </row>
    <row r="8" spans="1:2" x14ac:dyDescent="0.25">
      <c r="A8" s="1">
        <v>44255</v>
      </c>
      <c r="B8">
        <f>0.00004/(12)</f>
        <v>3.3333333333333337E-6</v>
      </c>
    </row>
    <row r="9" spans="1:2" x14ac:dyDescent="0.25">
      <c r="A9" s="1">
        <v>44286</v>
      </c>
      <c r="B9">
        <f>0.00004/(12)</f>
        <v>3.3333333333333337E-6</v>
      </c>
    </row>
    <row r="10" spans="1:2" x14ac:dyDescent="0.25">
      <c r="A10" s="1">
        <v>44316</v>
      </c>
      <c r="B10">
        <f>0.00004/(12)</f>
        <v>3.3333333333333337E-6</v>
      </c>
    </row>
    <row r="11" spans="1:2" x14ac:dyDescent="0.25">
      <c r="A11" s="1">
        <v>44347</v>
      </c>
      <c r="B11">
        <f>0.00004/(12)</f>
        <v>3.3333333333333337E-6</v>
      </c>
    </row>
    <row r="12" spans="1:2" x14ac:dyDescent="0.25">
      <c r="A12" s="1">
        <v>44377</v>
      </c>
      <c r="B12">
        <f>0/(12)</f>
        <v>0</v>
      </c>
    </row>
    <row r="13" spans="1:2" x14ac:dyDescent="0.25">
      <c r="A13" s="1">
        <v>44407</v>
      </c>
      <c r="B13">
        <f>0.00043/(12)</f>
        <v>3.5833333333333335E-5</v>
      </c>
    </row>
    <row r="14" spans="1:2" x14ac:dyDescent="0.25">
      <c r="A14" s="1">
        <v>44439</v>
      </c>
      <c r="B14">
        <f>0.00039/(12)</f>
        <v>3.2499999999999997E-5</v>
      </c>
    </row>
    <row r="15" spans="1:2" x14ac:dyDescent="0.25">
      <c r="A15" s="1">
        <v>44469</v>
      </c>
      <c r="B15">
        <f>0.0003/(12)</f>
        <v>2.4999999999999998E-5</v>
      </c>
    </row>
    <row r="16" spans="1:2" x14ac:dyDescent="0.25">
      <c r="A16" s="1">
        <v>44498</v>
      </c>
      <c r="B16">
        <f>0.00053/(12)</f>
        <v>4.4166666666666665E-5</v>
      </c>
    </row>
    <row r="17" spans="1:2" x14ac:dyDescent="0.25">
      <c r="A17" s="1">
        <v>44530</v>
      </c>
      <c r="B17">
        <f>0.00052/(12)</f>
        <v>4.3333333333333327E-5</v>
      </c>
    </row>
    <row r="18" spans="1:2" x14ac:dyDescent="0.25">
      <c r="A18" s="1">
        <v>44561</v>
      </c>
      <c r="B18">
        <f>0.00109/(12)</f>
        <v>9.0833333333333337E-5</v>
      </c>
    </row>
    <row r="19" spans="1:2" x14ac:dyDescent="0.25">
      <c r="A19" s="1">
        <v>44592</v>
      </c>
      <c r="B19">
        <f>0.00028/(12)</f>
        <v>2.3333333333333336E-5</v>
      </c>
    </row>
    <row r="20" spans="1:2" x14ac:dyDescent="0.25">
      <c r="A20" s="1">
        <v>44620</v>
      </c>
      <c r="B20">
        <f>0.00034/(12)</f>
        <v>2.8333333333333335E-5</v>
      </c>
    </row>
    <row r="21" spans="1:2" x14ac:dyDescent="0.25">
      <c r="A21" s="1">
        <v>44651</v>
      </c>
      <c r="B21">
        <f>0.00057/(12)</f>
        <v>4.7499999999999996E-5</v>
      </c>
    </row>
    <row r="22" spans="1:2" x14ac:dyDescent="0.25">
      <c r="A22" s="1">
        <v>44680</v>
      </c>
      <c r="B22">
        <f>0.00131/(12)</f>
        <v>1.0916666666666666E-4</v>
      </c>
    </row>
    <row r="23" spans="1:2" x14ac:dyDescent="0.25">
      <c r="A23" s="1">
        <v>44712</v>
      </c>
      <c r="B23">
        <f>0.00327/(12)</f>
        <v>2.7250000000000001E-4</v>
      </c>
    </row>
    <row r="24" spans="1:2" x14ac:dyDescent="0.25">
      <c r="A24" s="1">
        <v>44742</v>
      </c>
      <c r="B24">
        <f>0.0072/(12)</f>
        <v>5.9999999999999995E-4</v>
      </c>
    </row>
    <row r="25" spans="1:2" x14ac:dyDescent="0.25">
      <c r="A25" s="1">
        <v>44771</v>
      </c>
      <c r="B25">
        <f>0.0102/(12)</f>
        <v>8.5000000000000006E-4</v>
      </c>
    </row>
    <row r="26" spans="1:2" x14ac:dyDescent="0.25">
      <c r="A26" s="1">
        <v>44804</v>
      </c>
      <c r="B26">
        <f>0.02152/(12)</f>
        <v>1.7933333333333334E-3</v>
      </c>
    </row>
    <row r="27" spans="1:2" x14ac:dyDescent="0.25">
      <c r="A27" s="1">
        <v>44834</v>
      </c>
      <c r="B27">
        <f>0.02258/(12)</f>
        <v>1.8816666666666667E-3</v>
      </c>
    </row>
    <row r="28" spans="1:2" x14ac:dyDescent="0.25">
      <c r="A28" s="1">
        <v>44865</v>
      </c>
      <c r="B28">
        <f>0.02679/(12)</f>
        <v>2.2324999999999997E-3</v>
      </c>
    </row>
    <row r="29" spans="1:2" x14ac:dyDescent="0.25">
      <c r="A29" s="1">
        <v>44895</v>
      </c>
      <c r="B29">
        <f>0.03623/(12)</f>
        <v>3.019166666666667E-3</v>
      </c>
    </row>
    <row r="30" spans="1:2" x14ac:dyDescent="0.25">
      <c r="A30" s="1">
        <v>44925</v>
      </c>
      <c r="B30">
        <f>0.03947/(12)</f>
        <v>3.2891666666666664E-3</v>
      </c>
    </row>
    <row r="31" spans="1:2" x14ac:dyDescent="0.25">
      <c r="A31" s="1">
        <v>44957</v>
      </c>
      <c r="B31">
        <f>0.03999/(12)</f>
        <v>3.3325E-3</v>
      </c>
    </row>
    <row r="32" spans="1:2" x14ac:dyDescent="0.25">
      <c r="A32" s="1">
        <v>44985</v>
      </c>
      <c r="B32">
        <f>0.04523/(12)</f>
        <v>3.7691666666666668E-3</v>
      </c>
    </row>
    <row r="33" spans="1:2" x14ac:dyDescent="0.25">
      <c r="A33" s="1">
        <v>45016</v>
      </c>
      <c r="B33">
        <f>0.04597/(12)</f>
        <v>3.8308333333333337E-3</v>
      </c>
    </row>
    <row r="34" spans="1:2" x14ac:dyDescent="0.25">
      <c r="A34" s="1">
        <v>45044</v>
      </c>
      <c r="B34">
        <f>0.04532/(12)</f>
        <v>3.7766666666666665E-3</v>
      </c>
    </row>
    <row r="35" spans="1:2" x14ac:dyDescent="0.25">
      <c r="A35" s="1">
        <v>45077</v>
      </c>
      <c r="B35">
        <f>0.0418/(12)</f>
        <v>3.4833333333333331E-3</v>
      </c>
    </row>
    <row r="36" spans="1:2" x14ac:dyDescent="0.25">
      <c r="A36" s="1">
        <v>45107</v>
      </c>
      <c r="B36">
        <f>0.05158/(12)</f>
        <v>4.2983333333333337E-3</v>
      </c>
    </row>
    <row r="37" spans="1:2" x14ac:dyDescent="0.25">
      <c r="A37" s="1">
        <v>45138</v>
      </c>
      <c r="B37">
        <f>0.05142/(12)</f>
        <v>4.2849999999999997E-3</v>
      </c>
    </row>
    <row r="38" spans="1:2" x14ac:dyDescent="0.25">
      <c r="A38" s="1">
        <v>45169</v>
      </c>
      <c r="B38">
        <f>0.05363/(12)</f>
        <v>4.4691666666666673E-3</v>
      </c>
    </row>
    <row r="39" spans="1:2" x14ac:dyDescent="0.25">
      <c r="A39" s="1">
        <v>45198</v>
      </c>
      <c r="B39">
        <f>0.05381/(12)</f>
        <v>4.4841666666666667E-3</v>
      </c>
    </row>
    <row r="40" spans="1:2" x14ac:dyDescent="0.25">
      <c r="A40" s="1">
        <v>45230</v>
      </c>
      <c r="B40">
        <f>0.05363/(12)</f>
        <v>4.4691666666666673E-3</v>
      </c>
    </row>
    <row r="41" spans="1:2" x14ac:dyDescent="0.25">
      <c r="A41" s="1">
        <v>45260</v>
      </c>
      <c r="B41">
        <f>0.05394/(12)</f>
        <v>4.4949999999999999E-3</v>
      </c>
    </row>
    <row r="42" spans="1:2" x14ac:dyDescent="0.25">
      <c r="A42" s="1">
        <v>45289</v>
      </c>
      <c r="B42">
        <f>0.05379/(12)</f>
        <v>4.4824999999999995E-3</v>
      </c>
    </row>
    <row r="43" spans="1:2" x14ac:dyDescent="0.25">
      <c r="A43" s="1">
        <v>45322</v>
      </c>
      <c r="B43">
        <f>0.05403/(12)</f>
        <v>4.5024999999999996E-3</v>
      </c>
    </row>
    <row r="44" spans="1:2" x14ac:dyDescent="0.25">
      <c r="A44" s="1">
        <v>45351</v>
      </c>
      <c r="B44">
        <f>0.05372/(12)</f>
        <v>4.4766666666666661E-3</v>
      </c>
    </row>
    <row r="45" spans="1:2" x14ac:dyDescent="0.25">
      <c r="A45" s="1">
        <v>45380</v>
      </c>
      <c r="B45">
        <f>0.05397/(12)</f>
        <v>4.4975000000000006E-3</v>
      </c>
    </row>
    <row r="46" spans="1:2" x14ac:dyDescent="0.25">
      <c r="A46" s="1">
        <v>45412</v>
      </c>
      <c r="B46">
        <f>0.05356/(12)</f>
        <v>4.463333333333333E-3</v>
      </c>
    </row>
    <row r="47" spans="1:2" x14ac:dyDescent="0.25">
      <c r="A47" s="1">
        <v>45443</v>
      </c>
      <c r="B47">
        <f>0.05379/(12)</f>
        <v>4.4824999999999995E-3</v>
      </c>
    </row>
    <row r="48" spans="1:2" x14ac:dyDescent="0.25">
      <c r="A48" s="1">
        <v>45471</v>
      </c>
      <c r="B48">
        <f>0.05361/(12)</f>
        <v>4.4675000000000001E-3</v>
      </c>
    </row>
    <row r="49" spans="1:2" x14ac:dyDescent="0.25">
      <c r="A49" s="1">
        <v>45504</v>
      </c>
      <c r="B49">
        <f>0.05323/(12)</f>
        <v>4.4358333333333342E-3</v>
      </c>
    </row>
    <row r="50" spans="1:2" x14ac:dyDescent="0.25">
      <c r="A50" s="1">
        <v>45534</v>
      </c>
      <c r="B50">
        <f>0.0537/(12)</f>
        <v>4.4749999999999998E-3</v>
      </c>
    </row>
    <row r="51" spans="1:2" x14ac:dyDescent="0.25">
      <c r="A51" s="1">
        <v>45565</v>
      </c>
      <c r="B51">
        <f>0.05266/(12)</f>
        <v>4.3883333333333335E-3</v>
      </c>
    </row>
    <row r="52" spans="1:2" x14ac:dyDescent="0.25">
      <c r="A52" s="1">
        <v>45596</v>
      </c>
      <c r="B52">
        <f>0.0482/(12)</f>
        <v>4.0166666666666666E-3</v>
      </c>
    </row>
    <row r="53" spans="1:2" x14ac:dyDescent="0.25">
      <c r="A53" s="1">
        <v>45625</v>
      </c>
      <c r="B53">
        <f>0.0467/(12)</f>
        <v>3.8916666666666665E-3</v>
      </c>
    </row>
    <row r="54" spans="1:2" x14ac:dyDescent="0.25">
      <c r="A54" s="1">
        <v>45657</v>
      </c>
      <c r="B54">
        <f>0.04616/(12)</f>
        <v>3.8466666666666666E-3</v>
      </c>
    </row>
    <row r="55" spans="1:2" x14ac:dyDescent="0.25">
      <c r="A55" s="1">
        <v>45688</v>
      </c>
      <c r="B55">
        <f>0.0428/(12)</f>
        <v>3.5666666666666672E-3</v>
      </c>
    </row>
    <row r="56" spans="1:2" x14ac:dyDescent="0.25">
      <c r="A56" s="1">
        <v>45716</v>
      </c>
      <c r="B56">
        <f>0.04298/(12)</f>
        <v>3.5816666666666666E-3</v>
      </c>
    </row>
    <row r="57" spans="1:2" x14ac:dyDescent="0.25">
      <c r="A57" s="1">
        <v>45747</v>
      </c>
      <c r="B57">
        <f>0.04302/(12)</f>
        <v>3.5849999999999996E-3</v>
      </c>
    </row>
    <row r="58" spans="1:2" x14ac:dyDescent="0.25">
      <c r="A58" s="1">
        <v>45777</v>
      </c>
      <c r="B58">
        <f>0.04305/(12)</f>
        <v>3.5875E-3</v>
      </c>
    </row>
    <row r="59" spans="1:2" x14ac:dyDescent="0.25">
      <c r="A59" s="1">
        <v>45807</v>
      </c>
      <c r="B59">
        <f>0.04296/(12)</f>
        <v>3.5800000000000003E-3</v>
      </c>
    </row>
    <row r="60" spans="1:2" x14ac:dyDescent="0.25">
      <c r="A60" s="1">
        <v>45838</v>
      </c>
      <c r="B60">
        <f>0.04272/(12)</f>
        <v>3.5600000000000002E-3</v>
      </c>
    </row>
    <row r="61" spans="1:2" x14ac:dyDescent="0.25">
      <c r="A61" s="1">
        <v>45869</v>
      </c>
      <c r="B61">
        <f>0.04215/(12)</f>
        <v>3.5125E-3</v>
      </c>
    </row>
    <row r="62" spans="1:2" x14ac:dyDescent="0.25">
      <c r="A62" s="1">
        <v>45898</v>
      </c>
      <c r="B62">
        <f>0.04361/(12)</f>
        <v>3.6341666666666662E-3</v>
      </c>
    </row>
    <row r="63" spans="1:2" x14ac:dyDescent="0.25">
      <c r="A63" s="1">
        <v>45930</v>
      </c>
      <c r="B63">
        <f>0.04317/(12)</f>
        <v>3.5975E-3</v>
      </c>
    </row>
    <row r="64" spans="1:2" x14ac:dyDescent="0.25">
      <c r="A64" s="1">
        <v>45961</v>
      </c>
      <c r="B64">
        <f>0.04109/(12)</f>
        <v>3.4241666666666669E-3</v>
      </c>
    </row>
    <row r="65" spans="1:2" x14ac:dyDescent="0.25">
      <c r="A65" s="1">
        <v>45989</v>
      </c>
      <c r="B65">
        <f>0.03917/(12)</f>
        <v>3.2641666666666665E-3</v>
      </c>
    </row>
    <row r="66" spans="1:2" x14ac:dyDescent="0.25">
      <c r="A66" s="1">
        <v>46022</v>
      </c>
      <c r="B66">
        <f>0.03927/(12)</f>
        <v>3.2724999999999998E-3</v>
      </c>
    </row>
    <row r="67" spans="1:2" x14ac:dyDescent="0.25">
      <c r="A67" s="1">
        <v>46052</v>
      </c>
      <c r="B67">
        <f>0.03595/(12)</f>
        <v>2.9958333333333334E-3</v>
      </c>
    </row>
    <row r="68" spans="1:2" x14ac:dyDescent="0.25">
      <c r="A68" s="1">
        <v>46080</v>
      </c>
      <c r="B68">
        <f>0.03678/(12)</f>
        <v>3.065E-3</v>
      </c>
    </row>
    <row r="69" spans="1:2" x14ac:dyDescent="0.25">
      <c r="B6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680A-4497-44B2-8749-5087927C4CE6}">
  <dimension ref="A1:G60"/>
  <sheetViews>
    <sheetView topLeftCell="A34" workbookViewId="0">
      <selection activeCell="F2" sqref="F2:G60"/>
    </sheetView>
  </sheetViews>
  <sheetFormatPr defaultRowHeight="15" x14ac:dyDescent="0.25"/>
  <cols>
    <col min="1" max="1" width="10.42578125" bestFit="1" customWidth="1"/>
    <col min="2" max="2" width="13.7109375" bestFit="1" customWidth="1"/>
    <col min="3" max="3" width="15.85546875" bestFit="1" customWidth="1"/>
    <col min="4" max="4" width="14.7109375" bestFit="1" customWidth="1"/>
    <col min="5" max="5" width="16.85546875" bestFit="1" customWidth="1"/>
    <col min="6" max="6" width="12.42578125" bestFit="1" customWidth="1"/>
    <col min="7" max="7" width="10.28515625" bestFit="1" customWidth="1"/>
  </cols>
  <sheetData>
    <row r="1" spans="1:7" x14ac:dyDescent="0.25">
      <c r="A1" t="s">
        <v>0</v>
      </c>
      <c r="B1" t="s">
        <v>7</v>
      </c>
      <c r="C1" t="s">
        <v>6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 s="1">
        <v>44316</v>
      </c>
      <c r="B2">
        <v>35</v>
      </c>
      <c r="C2">
        <v>125</v>
      </c>
      <c r="D2">
        <v>45</v>
      </c>
      <c r="E2">
        <v>200</v>
      </c>
      <c r="F2">
        <v>250</v>
      </c>
      <c r="G2">
        <v>55</v>
      </c>
    </row>
    <row r="3" spans="1:7" x14ac:dyDescent="0.25">
      <c r="A3" s="1">
        <v>44347</v>
      </c>
      <c r="B3">
        <v>35</v>
      </c>
      <c r="C3">
        <v>125</v>
      </c>
      <c r="D3">
        <v>45</v>
      </c>
      <c r="E3">
        <v>200</v>
      </c>
      <c r="F3">
        <v>250</v>
      </c>
      <c r="G3">
        <v>55</v>
      </c>
    </row>
    <row r="4" spans="1:7" x14ac:dyDescent="0.25">
      <c r="A4" s="1">
        <v>44377</v>
      </c>
      <c r="B4">
        <v>35</v>
      </c>
      <c r="C4">
        <v>125</v>
      </c>
      <c r="D4">
        <v>45</v>
      </c>
      <c r="E4">
        <v>200</v>
      </c>
      <c r="F4">
        <v>250</v>
      </c>
      <c r="G4">
        <v>55</v>
      </c>
    </row>
    <row r="5" spans="1:7" x14ac:dyDescent="0.25">
      <c r="A5" s="1">
        <v>44407</v>
      </c>
      <c r="B5">
        <v>35</v>
      </c>
      <c r="C5">
        <v>125</v>
      </c>
      <c r="D5">
        <v>45</v>
      </c>
      <c r="E5">
        <v>200</v>
      </c>
      <c r="F5">
        <v>250</v>
      </c>
      <c r="G5">
        <v>55</v>
      </c>
    </row>
    <row r="6" spans="1:7" x14ac:dyDescent="0.25">
      <c r="A6" s="1">
        <v>44439</v>
      </c>
      <c r="B6">
        <v>35</v>
      </c>
      <c r="C6">
        <v>125</v>
      </c>
      <c r="D6">
        <v>45</v>
      </c>
      <c r="E6">
        <v>200</v>
      </c>
      <c r="F6">
        <v>250</v>
      </c>
      <c r="G6">
        <v>55</v>
      </c>
    </row>
    <row r="7" spans="1:7" x14ac:dyDescent="0.25">
      <c r="A7" s="1">
        <v>44469</v>
      </c>
      <c r="B7">
        <v>35</v>
      </c>
      <c r="C7">
        <v>125</v>
      </c>
      <c r="D7">
        <v>45</v>
      </c>
      <c r="E7">
        <v>200</v>
      </c>
      <c r="F7">
        <v>250</v>
      </c>
      <c r="G7">
        <v>55</v>
      </c>
    </row>
    <row r="8" spans="1:7" x14ac:dyDescent="0.25">
      <c r="A8" s="1">
        <v>44498</v>
      </c>
      <c r="B8">
        <v>35</v>
      </c>
      <c r="C8">
        <v>125</v>
      </c>
      <c r="D8">
        <v>45</v>
      </c>
      <c r="E8">
        <v>200</v>
      </c>
      <c r="F8">
        <v>250</v>
      </c>
      <c r="G8">
        <v>55</v>
      </c>
    </row>
    <row r="9" spans="1:7" x14ac:dyDescent="0.25">
      <c r="A9" s="1">
        <v>44530</v>
      </c>
      <c r="B9">
        <v>35</v>
      </c>
      <c r="C9">
        <v>125</v>
      </c>
      <c r="D9">
        <v>45</v>
      </c>
      <c r="E9">
        <v>200</v>
      </c>
      <c r="F9">
        <v>250</v>
      </c>
      <c r="G9">
        <v>55</v>
      </c>
    </row>
    <row r="10" spans="1:7" x14ac:dyDescent="0.25">
      <c r="A10" s="1">
        <v>44561</v>
      </c>
      <c r="B10">
        <v>35</v>
      </c>
      <c r="C10">
        <v>125</v>
      </c>
      <c r="D10">
        <v>45</v>
      </c>
      <c r="E10">
        <v>200</v>
      </c>
      <c r="F10">
        <v>250</v>
      </c>
      <c r="G10">
        <v>55</v>
      </c>
    </row>
    <row r="11" spans="1:7" x14ac:dyDescent="0.25">
      <c r="A11" s="1">
        <v>44592</v>
      </c>
      <c r="B11">
        <v>35</v>
      </c>
      <c r="C11">
        <v>125</v>
      </c>
      <c r="D11">
        <v>45</v>
      </c>
      <c r="E11">
        <v>200</v>
      </c>
      <c r="F11">
        <v>250</v>
      </c>
      <c r="G11">
        <v>55</v>
      </c>
    </row>
    <row r="12" spans="1:7" x14ac:dyDescent="0.25">
      <c r="A12" s="1">
        <v>44620</v>
      </c>
      <c r="B12">
        <v>35</v>
      </c>
      <c r="C12">
        <v>125</v>
      </c>
      <c r="D12">
        <v>45</v>
      </c>
      <c r="E12">
        <v>200</v>
      </c>
      <c r="F12">
        <v>250</v>
      </c>
      <c r="G12">
        <v>55</v>
      </c>
    </row>
    <row r="13" spans="1:7" x14ac:dyDescent="0.25">
      <c r="A13" s="1">
        <v>44651</v>
      </c>
      <c r="B13">
        <v>35</v>
      </c>
      <c r="C13">
        <v>125</v>
      </c>
      <c r="D13">
        <v>45</v>
      </c>
      <c r="E13">
        <v>200</v>
      </c>
      <c r="F13">
        <v>250</v>
      </c>
      <c r="G13">
        <v>55</v>
      </c>
    </row>
    <row r="14" spans="1:7" x14ac:dyDescent="0.25">
      <c r="A14" s="1">
        <v>44680</v>
      </c>
      <c r="B14">
        <v>35</v>
      </c>
      <c r="C14">
        <v>125</v>
      </c>
      <c r="D14">
        <v>45</v>
      </c>
      <c r="E14">
        <v>200</v>
      </c>
      <c r="F14">
        <v>250</v>
      </c>
      <c r="G14">
        <v>55</v>
      </c>
    </row>
    <row r="15" spans="1:7" x14ac:dyDescent="0.25">
      <c r="A15" s="1">
        <v>44712</v>
      </c>
      <c r="B15">
        <v>35</v>
      </c>
      <c r="C15">
        <v>125</v>
      </c>
      <c r="D15">
        <v>45</v>
      </c>
      <c r="E15">
        <v>200</v>
      </c>
      <c r="F15">
        <v>250</v>
      </c>
      <c r="G15">
        <v>55</v>
      </c>
    </row>
    <row r="16" spans="1:7" x14ac:dyDescent="0.25">
      <c r="A16" s="1">
        <v>44742</v>
      </c>
      <c r="B16">
        <v>35</v>
      </c>
      <c r="C16">
        <v>125</v>
      </c>
      <c r="D16">
        <v>45</v>
      </c>
      <c r="E16">
        <v>200</v>
      </c>
      <c r="F16">
        <v>250</v>
      </c>
      <c r="G16">
        <v>55</v>
      </c>
    </row>
    <row r="17" spans="1:7" x14ac:dyDescent="0.25">
      <c r="A17" s="1">
        <v>44771</v>
      </c>
      <c r="B17">
        <v>35</v>
      </c>
      <c r="C17">
        <v>125</v>
      </c>
      <c r="D17">
        <v>45</v>
      </c>
      <c r="E17">
        <v>200</v>
      </c>
      <c r="F17">
        <v>250</v>
      </c>
      <c r="G17">
        <v>55</v>
      </c>
    </row>
    <row r="18" spans="1:7" x14ac:dyDescent="0.25">
      <c r="A18" s="1">
        <v>44804</v>
      </c>
      <c r="B18">
        <v>35</v>
      </c>
      <c r="C18">
        <v>125</v>
      </c>
      <c r="D18">
        <v>45</v>
      </c>
      <c r="E18">
        <v>200</v>
      </c>
      <c r="F18">
        <v>250</v>
      </c>
      <c r="G18">
        <v>55</v>
      </c>
    </row>
    <row r="19" spans="1:7" x14ac:dyDescent="0.25">
      <c r="A19" s="1">
        <v>44834</v>
      </c>
      <c r="B19">
        <v>35</v>
      </c>
      <c r="C19">
        <v>125</v>
      </c>
      <c r="D19">
        <v>45</v>
      </c>
      <c r="E19">
        <v>200</v>
      </c>
      <c r="F19">
        <v>250</v>
      </c>
      <c r="G19">
        <v>55</v>
      </c>
    </row>
    <row r="20" spans="1:7" x14ac:dyDescent="0.25">
      <c r="A20" s="1">
        <v>44865</v>
      </c>
      <c r="B20">
        <v>35</v>
      </c>
      <c r="C20">
        <v>125</v>
      </c>
      <c r="D20">
        <v>45</v>
      </c>
      <c r="E20">
        <v>200</v>
      </c>
      <c r="F20">
        <v>250</v>
      </c>
      <c r="G20">
        <v>55</v>
      </c>
    </row>
    <row r="21" spans="1:7" x14ac:dyDescent="0.25">
      <c r="A21" s="1">
        <v>44895</v>
      </c>
      <c r="B21">
        <v>35</v>
      </c>
      <c r="C21">
        <v>125</v>
      </c>
      <c r="D21">
        <v>45</v>
      </c>
      <c r="E21">
        <v>200</v>
      </c>
      <c r="F21">
        <v>250</v>
      </c>
      <c r="G21">
        <v>55</v>
      </c>
    </row>
    <row r="22" spans="1:7" x14ac:dyDescent="0.25">
      <c r="A22" s="1">
        <v>44925</v>
      </c>
      <c r="B22">
        <v>35</v>
      </c>
      <c r="C22">
        <v>125</v>
      </c>
      <c r="D22">
        <v>45</v>
      </c>
      <c r="E22">
        <v>200</v>
      </c>
      <c r="F22">
        <v>250</v>
      </c>
      <c r="G22">
        <v>55</v>
      </c>
    </row>
    <row r="23" spans="1:7" x14ac:dyDescent="0.25">
      <c r="A23" s="1">
        <v>44957</v>
      </c>
      <c r="B23">
        <v>35</v>
      </c>
      <c r="C23">
        <v>125</v>
      </c>
      <c r="D23">
        <v>45</v>
      </c>
      <c r="E23">
        <v>200</v>
      </c>
      <c r="F23">
        <v>250</v>
      </c>
      <c r="G23">
        <v>55</v>
      </c>
    </row>
    <row r="24" spans="1:7" x14ac:dyDescent="0.25">
      <c r="A24" s="1">
        <v>44985</v>
      </c>
      <c r="B24">
        <v>35</v>
      </c>
      <c r="C24">
        <v>125</v>
      </c>
      <c r="D24">
        <v>45</v>
      </c>
      <c r="E24">
        <v>200</v>
      </c>
      <c r="F24">
        <v>250</v>
      </c>
      <c r="G24">
        <v>55</v>
      </c>
    </row>
    <row r="25" spans="1:7" x14ac:dyDescent="0.25">
      <c r="A25" s="1">
        <v>45016</v>
      </c>
      <c r="B25">
        <v>35</v>
      </c>
      <c r="C25">
        <v>125</v>
      </c>
      <c r="D25">
        <v>45</v>
      </c>
      <c r="E25">
        <v>200</v>
      </c>
      <c r="F25">
        <v>250</v>
      </c>
      <c r="G25">
        <v>55</v>
      </c>
    </row>
    <row r="26" spans="1:7" x14ac:dyDescent="0.25">
      <c r="A26" s="1">
        <v>45044</v>
      </c>
      <c r="B26">
        <v>35</v>
      </c>
      <c r="C26">
        <v>125</v>
      </c>
      <c r="D26">
        <v>45</v>
      </c>
      <c r="E26">
        <v>200</v>
      </c>
      <c r="F26">
        <v>250</v>
      </c>
      <c r="G26">
        <v>55</v>
      </c>
    </row>
    <row r="27" spans="1:7" x14ac:dyDescent="0.25">
      <c r="A27" s="1">
        <v>45077</v>
      </c>
      <c r="B27">
        <v>35</v>
      </c>
      <c r="C27">
        <v>125</v>
      </c>
      <c r="D27">
        <v>45</v>
      </c>
      <c r="E27">
        <v>200</v>
      </c>
      <c r="F27">
        <v>250</v>
      </c>
      <c r="G27">
        <v>55</v>
      </c>
    </row>
    <row r="28" spans="1:7" x14ac:dyDescent="0.25">
      <c r="A28" s="1">
        <v>45107</v>
      </c>
      <c r="B28">
        <v>35</v>
      </c>
      <c r="C28">
        <v>125</v>
      </c>
      <c r="D28">
        <v>45</v>
      </c>
      <c r="E28">
        <v>200</v>
      </c>
      <c r="F28">
        <v>250</v>
      </c>
      <c r="G28">
        <v>55</v>
      </c>
    </row>
    <row r="29" spans="1:7" x14ac:dyDescent="0.25">
      <c r="A29" s="1">
        <v>45138</v>
      </c>
      <c r="B29">
        <v>35</v>
      </c>
      <c r="C29">
        <v>125</v>
      </c>
      <c r="D29">
        <v>45</v>
      </c>
      <c r="E29">
        <v>200</v>
      </c>
      <c r="F29">
        <v>250</v>
      </c>
      <c r="G29">
        <v>55</v>
      </c>
    </row>
    <row r="30" spans="1:7" x14ac:dyDescent="0.25">
      <c r="A30" s="1">
        <v>45169</v>
      </c>
      <c r="B30">
        <v>35</v>
      </c>
      <c r="C30">
        <v>125</v>
      </c>
      <c r="D30">
        <v>45</v>
      </c>
      <c r="E30">
        <v>200</v>
      </c>
      <c r="F30">
        <v>250</v>
      </c>
      <c r="G30">
        <v>55</v>
      </c>
    </row>
    <row r="31" spans="1:7" x14ac:dyDescent="0.25">
      <c r="A31" s="1">
        <v>45198</v>
      </c>
      <c r="B31">
        <v>35</v>
      </c>
      <c r="C31">
        <v>125</v>
      </c>
      <c r="D31">
        <v>45</v>
      </c>
      <c r="E31">
        <v>200</v>
      </c>
      <c r="F31">
        <v>250</v>
      </c>
      <c r="G31">
        <v>55</v>
      </c>
    </row>
    <row r="32" spans="1:7" x14ac:dyDescent="0.25">
      <c r="A32" s="1">
        <v>45230</v>
      </c>
      <c r="B32">
        <v>35</v>
      </c>
      <c r="C32">
        <v>125</v>
      </c>
      <c r="D32">
        <v>45</v>
      </c>
      <c r="E32">
        <v>200</v>
      </c>
      <c r="F32">
        <v>250</v>
      </c>
      <c r="G32">
        <v>55</v>
      </c>
    </row>
    <row r="33" spans="1:7" x14ac:dyDescent="0.25">
      <c r="A33" s="1">
        <v>45260</v>
      </c>
      <c r="B33">
        <v>35</v>
      </c>
      <c r="C33">
        <v>125</v>
      </c>
      <c r="D33">
        <v>45</v>
      </c>
      <c r="E33">
        <v>200</v>
      </c>
      <c r="F33">
        <v>250</v>
      </c>
      <c r="G33">
        <v>55</v>
      </c>
    </row>
    <row r="34" spans="1:7" x14ac:dyDescent="0.25">
      <c r="A34" s="1">
        <v>45289</v>
      </c>
      <c r="B34">
        <v>35</v>
      </c>
      <c r="C34">
        <v>125</v>
      </c>
      <c r="D34">
        <v>45</v>
      </c>
      <c r="E34">
        <v>200</v>
      </c>
      <c r="F34">
        <v>250</v>
      </c>
      <c r="G34">
        <v>55</v>
      </c>
    </row>
    <row r="35" spans="1:7" x14ac:dyDescent="0.25">
      <c r="A35" s="1">
        <v>45322</v>
      </c>
      <c r="B35">
        <v>35</v>
      </c>
      <c r="C35">
        <v>125</v>
      </c>
      <c r="D35">
        <v>45</v>
      </c>
      <c r="E35">
        <v>200</v>
      </c>
      <c r="F35">
        <v>250</v>
      </c>
      <c r="G35">
        <v>55</v>
      </c>
    </row>
    <row r="36" spans="1:7" x14ac:dyDescent="0.25">
      <c r="A36" s="1">
        <v>45351</v>
      </c>
      <c r="B36">
        <v>35</v>
      </c>
      <c r="C36">
        <v>125</v>
      </c>
      <c r="D36">
        <v>45</v>
      </c>
      <c r="E36">
        <v>200</v>
      </c>
      <c r="F36">
        <v>250</v>
      </c>
      <c r="G36">
        <v>55</v>
      </c>
    </row>
    <row r="37" spans="1:7" x14ac:dyDescent="0.25">
      <c r="A37" s="1">
        <v>45380</v>
      </c>
      <c r="B37">
        <v>35</v>
      </c>
      <c r="C37">
        <v>125</v>
      </c>
      <c r="D37">
        <v>45</v>
      </c>
      <c r="E37">
        <v>200</v>
      </c>
      <c r="F37">
        <v>250</v>
      </c>
      <c r="G37">
        <v>55</v>
      </c>
    </row>
    <row r="38" spans="1:7" x14ac:dyDescent="0.25">
      <c r="A38" s="1">
        <v>45412</v>
      </c>
      <c r="B38">
        <v>35</v>
      </c>
      <c r="C38">
        <v>125</v>
      </c>
      <c r="D38">
        <v>45</v>
      </c>
      <c r="E38">
        <v>200</v>
      </c>
      <c r="F38">
        <v>250</v>
      </c>
      <c r="G38">
        <v>55</v>
      </c>
    </row>
    <row r="39" spans="1:7" x14ac:dyDescent="0.25">
      <c r="A39" s="1">
        <v>45443</v>
      </c>
      <c r="B39">
        <v>35</v>
      </c>
      <c r="C39">
        <v>125</v>
      </c>
      <c r="D39">
        <v>45</v>
      </c>
      <c r="E39">
        <v>200</v>
      </c>
      <c r="F39">
        <v>250</v>
      </c>
      <c r="G39">
        <v>55</v>
      </c>
    </row>
    <row r="40" spans="1:7" x14ac:dyDescent="0.25">
      <c r="A40" s="1">
        <v>45471</v>
      </c>
      <c r="B40">
        <v>35</v>
      </c>
      <c r="C40">
        <v>125</v>
      </c>
      <c r="D40">
        <v>45</v>
      </c>
      <c r="E40">
        <v>200</v>
      </c>
      <c r="F40">
        <v>250</v>
      </c>
      <c r="G40">
        <v>55</v>
      </c>
    </row>
    <row r="41" spans="1:7" x14ac:dyDescent="0.25">
      <c r="A41" s="1">
        <v>45504</v>
      </c>
      <c r="B41">
        <v>35</v>
      </c>
      <c r="C41">
        <v>125</v>
      </c>
      <c r="D41">
        <v>45</v>
      </c>
      <c r="E41">
        <v>200</v>
      </c>
      <c r="F41">
        <v>250</v>
      </c>
      <c r="G41">
        <v>55</v>
      </c>
    </row>
    <row r="42" spans="1:7" x14ac:dyDescent="0.25">
      <c r="A42" s="1">
        <v>45534</v>
      </c>
      <c r="B42">
        <v>35</v>
      </c>
      <c r="C42">
        <v>125</v>
      </c>
      <c r="D42">
        <v>45</v>
      </c>
      <c r="E42">
        <v>200</v>
      </c>
      <c r="F42">
        <v>250</v>
      </c>
      <c r="G42">
        <v>55</v>
      </c>
    </row>
    <row r="43" spans="1:7" x14ac:dyDescent="0.25">
      <c r="A43" s="1">
        <v>45565</v>
      </c>
      <c r="B43">
        <v>35</v>
      </c>
      <c r="C43">
        <v>125</v>
      </c>
      <c r="D43">
        <v>45</v>
      </c>
      <c r="E43">
        <v>200</v>
      </c>
      <c r="F43">
        <v>250</v>
      </c>
      <c r="G43">
        <v>55</v>
      </c>
    </row>
    <row r="44" spans="1:7" x14ac:dyDescent="0.25">
      <c r="A44" s="1">
        <v>45596</v>
      </c>
      <c r="B44">
        <v>35</v>
      </c>
      <c r="C44">
        <v>125</v>
      </c>
      <c r="D44">
        <v>45</v>
      </c>
      <c r="E44">
        <v>200</v>
      </c>
      <c r="F44">
        <v>250</v>
      </c>
      <c r="G44">
        <v>55</v>
      </c>
    </row>
    <row r="45" spans="1:7" x14ac:dyDescent="0.25">
      <c r="A45" s="1">
        <v>45625</v>
      </c>
      <c r="B45">
        <v>35</v>
      </c>
      <c r="C45">
        <v>125</v>
      </c>
      <c r="D45">
        <v>45</v>
      </c>
      <c r="E45">
        <v>200</v>
      </c>
      <c r="F45">
        <v>250</v>
      </c>
      <c r="G45">
        <v>55</v>
      </c>
    </row>
    <row r="46" spans="1:7" x14ac:dyDescent="0.25">
      <c r="A46" s="1">
        <v>45657</v>
      </c>
      <c r="B46">
        <v>35</v>
      </c>
      <c r="C46">
        <v>125</v>
      </c>
      <c r="D46">
        <v>45</v>
      </c>
      <c r="E46">
        <v>200</v>
      </c>
      <c r="F46">
        <v>250</v>
      </c>
      <c r="G46">
        <v>55</v>
      </c>
    </row>
    <row r="47" spans="1:7" x14ac:dyDescent="0.25">
      <c r="A47" s="1">
        <v>45688</v>
      </c>
      <c r="B47">
        <v>35</v>
      </c>
      <c r="C47">
        <v>125</v>
      </c>
      <c r="D47">
        <v>45</v>
      </c>
      <c r="E47">
        <v>200</v>
      </c>
      <c r="F47">
        <v>250</v>
      </c>
      <c r="G47">
        <v>55</v>
      </c>
    </row>
    <row r="48" spans="1:7" x14ac:dyDescent="0.25">
      <c r="A48" s="1">
        <v>45716</v>
      </c>
      <c r="B48">
        <v>35</v>
      </c>
      <c r="C48">
        <v>125</v>
      </c>
      <c r="D48">
        <v>45</v>
      </c>
      <c r="E48">
        <v>200</v>
      </c>
      <c r="F48">
        <v>250</v>
      </c>
      <c r="G48">
        <v>55</v>
      </c>
    </row>
    <row r="49" spans="1:7" x14ac:dyDescent="0.25">
      <c r="A49" s="1">
        <v>45747</v>
      </c>
      <c r="B49">
        <v>35</v>
      </c>
      <c r="C49">
        <v>125</v>
      </c>
      <c r="D49">
        <v>45</v>
      </c>
      <c r="E49">
        <v>200</v>
      </c>
      <c r="F49">
        <v>250</v>
      </c>
      <c r="G49">
        <v>55</v>
      </c>
    </row>
    <row r="50" spans="1:7" x14ac:dyDescent="0.25">
      <c r="A50" s="1">
        <v>45777</v>
      </c>
      <c r="B50">
        <v>35</v>
      </c>
      <c r="C50">
        <v>125</v>
      </c>
      <c r="D50">
        <v>45</v>
      </c>
      <c r="E50">
        <v>200</v>
      </c>
      <c r="F50">
        <v>250</v>
      </c>
      <c r="G50">
        <v>55</v>
      </c>
    </row>
    <row r="51" spans="1:7" x14ac:dyDescent="0.25">
      <c r="A51" s="1">
        <v>45807</v>
      </c>
      <c r="B51">
        <v>35</v>
      </c>
      <c r="C51">
        <v>125</v>
      </c>
      <c r="D51">
        <v>45</v>
      </c>
      <c r="E51">
        <v>200</v>
      </c>
      <c r="F51">
        <v>250</v>
      </c>
      <c r="G51">
        <v>55</v>
      </c>
    </row>
    <row r="52" spans="1:7" x14ac:dyDescent="0.25">
      <c r="A52" s="1">
        <v>45838</v>
      </c>
      <c r="B52">
        <v>35</v>
      </c>
      <c r="C52">
        <v>125</v>
      </c>
      <c r="D52">
        <v>45</v>
      </c>
      <c r="E52">
        <v>200</v>
      </c>
      <c r="F52">
        <v>250</v>
      </c>
      <c r="G52">
        <v>55</v>
      </c>
    </row>
    <row r="53" spans="1:7" x14ac:dyDescent="0.25">
      <c r="A53" s="1">
        <v>45869</v>
      </c>
      <c r="B53">
        <v>35</v>
      </c>
      <c r="C53">
        <v>125</v>
      </c>
      <c r="D53">
        <v>45</v>
      </c>
      <c r="E53">
        <v>200</v>
      </c>
      <c r="F53">
        <v>250</v>
      </c>
      <c r="G53">
        <v>55</v>
      </c>
    </row>
    <row r="54" spans="1:7" x14ac:dyDescent="0.25">
      <c r="A54" s="1">
        <v>45898</v>
      </c>
      <c r="B54">
        <v>35</v>
      </c>
      <c r="C54">
        <v>125</v>
      </c>
      <c r="D54">
        <v>45</v>
      </c>
      <c r="E54">
        <v>200</v>
      </c>
      <c r="F54">
        <v>250</v>
      </c>
      <c r="G54">
        <v>55</v>
      </c>
    </row>
    <row r="55" spans="1:7" x14ac:dyDescent="0.25">
      <c r="A55" s="1">
        <v>45930</v>
      </c>
      <c r="B55">
        <v>35</v>
      </c>
      <c r="C55">
        <v>125</v>
      </c>
      <c r="D55">
        <v>45</v>
      </c>
      <c r="E55">
        <v>200</v>
      </c>
      <c r="F55">
        <v>250</v>
      </c>
      <c r="G55">
        <v>55</v>
      </c>
    </row>
    <row r="56" spans="1:7" x14ac:dyDescent="0.25">
      <c r="A56" s="1">
        <v>45961</v>
      </c>
      <c r="B56">
        <v>35</v>
      </c>
      <c r="C56">
        <v>125</v>
      </c>
      <c r="D56">
        <v>45</v>
      </c>
      <c r="E56">
        <v>200</v>
      </c>
      <c r="F56">
        <v>250</v>
      </c>
      <c r="G56">
        <v>55</v>
      </c>
    </row>
    <row r="57" spans="1:7" x14ac:dyDescent="0.25">
      <c r="A57" s="1">
        <v>45989</v>
      </c>
      <c r="B57">
        <v>35</v>
      </c>
      <c r="C57">
        <v>125</v>
      </c>
      <c r="D57">
        <v>45</v>
      </c>
      <c r="E57">
        <v>200</v>
      </c>
      <c r="F57">
        <v>250</v>
      </c>
      <c r="G57">
        <v>55</v>
      </c>
    </row>
    <row r="58" spans="1:7" x14ac:dyDescent="0.25">
      <c r="A58" s="1">
        <v>46022</v>
      </c>
      <c r="B58">
        <v>35</v>
      </c>
      <c r="C58">
        <v>125</v>
      </c>
      <c r="D58">
        <v>45</v>
      </c>
      <c r="E58">
        <v>200</v>
      </c>
      <c r="F58">
        <v>250</v>
      </c>
      <c r="G58">
        <v>55</v>
      </c>
    </row>
    <row r="59" spans="1:7" x14ac:dyDescent="0.25">
      <c r="A59" s="1">
        <v>46052</v>
      </c>
      <c r="B59">
        <v>35</v>
      </c>
      <c r="C59">
        <v>125</v>
      </c>
      <c r="D59">
        <v>45</v>
      </c>
      <c r="E59">
        <v>200</v>
      </c>
      <c r="F59">
        <v>250</v>
      </c>
      <c r="G59">
        <v>55</v>
      </c>
    </row>
    <row r="60" spans="1:7" x14ac:dyDescent="0.25">
      <c r="A60" s="1">
        <v>46080</v>
      </c>
      <c r="B60">
        <v>35</v>
      </c>
      <c r="C60">
        <v>125</v>
      </c>
      <c r="D60">
        <v>45</v>
      </c>
      <c r="E60">
        <v>200</v>
      </c>
      <c r="F60">
        <v>250</v>
      </c>
      <c r="G60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return</vt:lpstr>
      <vt:lpstr>bm</vt:lpstr>
      <vt:lpstr>rf</vt:lpstr>
      <vt:lpstr>exposures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Schuler</dc:creator>
  <cp:lastModifiedBy>Jakob Schuler</cp:lastModifiedBy>
  <dcterms:created xsi:type="dcterms:W3CDTF">2026-03-05T18:53:51Z</dcterms:created>
  <dcterms:modified xsi:type="dcterms:W3CDTF">2026-03-07T12:25:33Z</dcterms:modified>
</cp:coreProperties>
</file>